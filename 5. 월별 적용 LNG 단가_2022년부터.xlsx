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업무\0. 업무 (2026년)\전력시장 일일실적 분석\"/>
    </mc:Choice>
  </mc:AlternateContent>
  <xr:revisionPtr revIDLastSave="0" documentId="13_ncr:1_{3F92E9AE-92C7-417C-9667-9AE00BA2B7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입방당" sheetId="1" r:id="rId1"/>
    <sheet name="GJ당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" i="1" l="1"/>
  <c r="M8" i="1"/>
  <c r="N8" i="1"/>
  <c r="O8" i="1"/>
  <c r="P8" i="1"/>
  <c r="Q8" i="1"/>
  <c r="R8" i="1"/>
  <c r="S8" i="1"/>
  <c r="T8" i="1"/>
  <c r="U8" i="1"/>
  <c r="V8" i="1"/>
  <c r="W8" i="1"/>
  <c r="L9" i="1"/>
  <c r="M9" i="1"/>
  <c r="N9" i="1"/>
  <c r="O9" i="1"/>
  <c r="P9" i="1"/>
  <c r="Q9" i="1"/>
  <c r="R9" i="1"/>
  <c r="S9" i="1"/>
  <c r="T9" i="1"/>
  <c r="U9" i="1"/>
  <c r="V9" i="1"/>
  <c r="W9" i="1"/>
  <c r="L10" i="1"/>
  <c r="M10" i="1"/>
  <c r="N10" i="1"/>
  <c r="O10" i="1"/>
  <c r="P10" i="1"/>
  <c r="Q10" i="1"/>
  <c r="R10" i="1"/>
  <c r="S10" i="1"/>
  <c r="T10" i="1"/>
  <c r="V10" i="1"/>
  <c r="W10" i="1"/>
  <c r="L11" i="1"/>
  <c r="M11" i="1"/>
  <c r="N11" i="1"/>
  <c r="O11" i="1"/>
  <c r="P11" i="1"/>
  <c r="Q11" i="1"/>
  <c r="R11" i="1"/>
  <c r="S11" i="1"/>
  <c r="T11" i="1"/>
  <c r="U11" i="1"/>
  <c r="V11" i="1"/>
  <c r="W11" i="1"/>
  <c r="L12" i="1"/>
  <c r="M12" i="1"/>
  <c r="N12" i="1"/>
  <c r="O12" i="1"/>
  <c r="P12" i="1"/>
  <c r="Q12" i="1"/>
  <c r="R12" i="1"/>
  <c r="S12" i="1"/>
  <c r="T12" i="1"/>
  <c r="U12" i="1"/>
  <c r="V12" i="1"/>
  <c r="W12" i="1"/>
  <c r="L13" i="1"/>
  <c r="M13" i="1"/>
  <c r="N13" i="1"/>
  <c r="O13" i="1"/>
  <c r="P13" i="1"/>
  <c r="Q13" i="1"/>
  <c r="R13" i="1"/>
  <c r="S13" i="1"/>
  <c r="T13" i="1"/>
  <c r="U13" i="1"/>
  <c r="V13" i="1"/>
  <c r="W13" i="1"/>
  <c r="L14" i="1"/>
  <c r="M14" i="1"/>
  <c r="N14" i="1"/>
  <c r="O14" i="1"/>
  <c r="P14" i="1"/>
  <c r="Q14" i="1"/>
  <c r="R14" i="1"/>
  <c r="S14" i="1"/>
  <c r="T14" i="1"/>
  <c r="U14" i="1"/>
  <c r="V14" i="1"/>
  <c r="W14" i="1"/>
  <c r="L15" i="1"/>
  <c r="M15" i="1"/>
  <c r="N15" i="1"/>
  <c r="O15" i="1"/>
  <c r="P15" i="1"/>
  <c r="Q15" i="1"/>
  <c r="R15" i="1"/>
  <c r="S15" i="1"/>
  <c r="T15" i="1"/>
  <c r="U15" i="1"/>
  <c r="V15" i="1"/>
  <c r="W15" i="1"/>
  <c r="L16" i="1"/>
  <c r="M16" i="1"/>
  <c r="N16" i="1"/>
  <c r="O16" i="1"/>
  <c r="P16" i="1"/>
  <c r="Q16" i="1"/>
  <c r="R16" i="1"/>
  <c r="S16" i="1"/>
  <c r="T16" i="1"/>
  <c r="U16" i="1"/>
  <c r="V16" i="1"/>
  <c r="W16" i="1"/>
  <c r="L17" i="1"/>
  <c r="M17" i="1"/>
  <c r="N17" i="1"/>
  <c r="O17" i="1"/>
  <c r="P17" i="1"/>
  <c r="Q17" i="1"/>
  <c r="R17" i="1"/>
  <c r="S17" i="1"/>
  <c r="T17" i="1"/>
  <c r="U17" i="1"/>
  <c r="V17" i="1"/>
  <c r="W17" i="1"/>
  <c r="L18" i="1"/>
  <c r="M18" i="1"/>
  <c r="N18" i="1"/>
  <c r="O18" i="1"/>
  <c r="P18" i="1"/>
  <c r="Q18" i="1"/>
  <c r="R18" i="1"/>
  <c r="S18" i="1"/>
  <c r="T18" i="1"/>
  <c r="U18" i="1"/>
  <c r="V18" i="1"/>
  <c r="W18" i="1"/>
  <c r="L19" i="1"/>
  <c r="M19" i="1"/>
  <c r="N19" i="1"/>
  <c r="O19" i="1"/>
  <c r="P19" i="1"/>
  <c r="Q19" i="1"/>
  <c r="R19" i="1"/>
  <c r="S19" i="1"/>
  <c r="T19" i="1"/>
  <c r="U19" i="1"/>
  <c r="V19" i="1"/>
  <c r="W19" i="1"/>
  <c r="L20" i="1"/>
  <c r="M20" i="1"/>
  <c r="N20" i="1"/>
  <c r="O20" i="1"/>
  <c r="P20" i="1"/>
  <c r="Q20" i="1"/>
  <c r="R20" i="1"/>
  <c r="S20" i="1"/>
  <c r="T20" i="1"/>
  <c r="U20" i="1"/>
  <c r="V20" i="1"/>
  <c r="W20" i="1"/>
  <c r="L21" i="1"/>
  <c r="M21" i="1"/>
  <c r="N21" i="1"/>
  <c r="O21" i="1"/>
  <c r="P21" i="1"/>
  <c r="Q21" i="1"/>
  <c r="R21" i="1"/>
  <c r="S21" i="1"/>
  <c r="T21" i="1"/>
  <c r="U21" i="1"/>
  <c r="V21" i="1"/>
  <c r="W21" i="1"/>
  <c r="L22" i="1"/>
  <c r="M22" i="1"/>
  <c r="N22" i="1"/>
  <c r="O22" i="1"/>
  <c r="P22" i="1"/>
  <c r="Q22" i="1"/>
  <c r="R22" i="1"/>
  <c r="S22" i="1"/>
  <c r="T22" i="1"/>
  <c r="U22" i="1"/>
  <c r="V22" i="1"/>
  <c r="W22" i="1"/>
  <c r="O21" i="2"/>
  <c r="N21" i="2"/>
  <c r="M21" i="2"/>
  <c r="L21" i="2"/>
  <c r="K21" i="2"/>
  <c r="J21" i="2"/>
  <c r="I21" i="2"/>
  <c r="H21" i="2"/>
  <c r="G21" i="2"/>
  <c r="F21" i="2"/>
  <c r="E21" i="2"/>
  <c r="D21" i="2"/>
  <c r="N18" i="2" l="1"/>
  <c r="M18" i="2"/>
  <c r="L18" i="2"/>
  <c r="K18" i="2"/>
  <c r="J18" i="2"/>
  <c r="I18" i="2"/>
  <c r="H18" i="2"/>
  <c r="G18" i="2"/>
  <c r="F18" i="2"/>
  <c r="E18" i="2"/>
  <c r="D18" i="2"/>
  <c r="O15" i="2" l="1"/>
  <c r="N15" i="2"/>
  <c r="M15" i="2"/>
  <c r="L15" i="2"/>
  <c r="K15" i="2"/>
  <c r="J15" i="2"/>
  <c r="I15" i="2"/>
  <c r="H15" i="2"/>
  <c r="G15" i="2"/>
  <c r="F15" i="2"/>
  <c r="D15" i="2"/>
  <c r="O12" i="2" l="1"/>
  <c r="N12" i="2"/>
  <c r="M12" i="2"/>
  <c r="L12" i="2"/>
  <c r="K12" i="2"/>
  <c r="J12" i="2"/>
  <c r="I12" i="2"/>
  <c r="H12" i="2"/>
  <c r="G12" i="2"/>
  <c r="F12" i="2"/>
  <c r="E12" i="2"/>
  <c r="D12" i="2"/>
  <c r="O9" i="2"/>
  <c r="N9" i="2"/>
  <c r="M9" i="2"/>
  <c r="U10" i="1" s="1"/>
  <c r="L9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<sst xmlns="http://schemas.openxmlformats.org/spreadsheetml/2006/main" count="30" uniqueCount="3">
  <si>
    <t>원료비</t>
    <phoneticPr fontId="2" type="noConversion"/>
  </si>
  <si>
    <t>공급비</t>
    <phoneticPr fontId="2" type="noConversion"/>
  </si>
  <si>
    <t>합계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</si>
</sst>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_-;\-* #,##0.00_-;_-* &quot;-&quot;_-;_-@_-"/>
  </numFmts>
  <fonts count="7" x14ac:knownFonts="1">
    <font>
      <sz val="8"/>
      <color theme="1"/>
      <name val="맑은 고딕"/>
      <family val="2"/>
      <charset val="129"/>
    </font>
    <font>
      <sz val="8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 Semilight"/>
      <family val="3"/>
      <charset val="129"/>
    </font>
    <font>
      <sz val="10"/>
      <color theme="1"/>
      <name val="돋움"/>
      <family val="3"/>
      <charset val="129"/>
    </font>
    <font>
      <sz val="1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4" fillId="0" borderId="1" xfId="1" applyNumberFormat="1" applyFont="1" applyBorder="1">
      <alignment vertical="center"/>
    </xf>
    <xf numFmtId="176" fontId="4" fillId="2" borderId="1" xfId="1" applyNumberFormat="1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6" fontId="5" fillId="0" borderId="2" xfId="1" applyNumberFormat="1" applyFont="1" applyFill="1" applyBorder="1">
      <alignment vertical="center"/>
    </xf>
    <xf numFmtId="176" fontId="6" fillId="0" borderId="2" xfId="1" applyNumberFormat="1" applyFont="1" applyFill="1" applyBorder="1" applyAlignment="1">
      <alignment vertical="center"/>
    </xf>
    <xf numFmtId="176" fontId="6" fillId="0" borderId="3" xfId="1" applyNumberFormat="1" applyFont="1" applyFill="1" applyBorder="1" applyAlignment="1">
      <alignment vertical="center"/>
    </xf>
    <xf numFmtId="176" fontId="5" fillId="0" borderId="1" xfId="1" applyNumberFormat="1" applyFont="1" applyFill="1" applyBorder="1">
      <alignment vertical="center"/>
    </xf>
    <xf numFmtId="176" fontId="6" fillId="0" borderId="1" xfId="1" applyNumberFormat="1" applyFont="1" applyFill="1" applyBorder="1" applyAlignment="1">
      <alignment vertical="center"/>
    </xf>
    <xf numFmtId="176" fontId="6" fillId="0" borderId="1" xfId="1" applyNumberFormat="1" applyFont="1" applyFill="1" applyBorder="1">
      <alignment vertical="center"/>
    </xf>
    <xf numFmtId="176" fontId="5" fillId="3" borderId="4" xfId="1" applyNumberFormat="1" applyFont="1" applyFill="1" applyBorder="1">
      <alignment vertical="center"/>
    </xf>
    <xf numFmtId="0" fontId="3" fillId="0" borderId="1" xfId="0" applyFont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J7:W22"/>
  <sheetViews>
    <sheetView showGridLines="0" tabSelected="1" zoomScale="115" zoomScaleNormal="115" workbookViewId="0">
      <pane xSplit="2" ySplit="1" topLeftCell="I2" activePane="bottomRight" state="frozen"/>
      <selection pane="topRight" activeCell="C1" sqref="C1"/>
      <selection pane="bottomLeft" activeCell="A5" sqref="A5"/>
      <selection pane="bottomRight" activeCell="M3" sqref="M3"/>
    </sheetView>
  </sheetViews>
  <sheetFormatPr defaultRowHeight="13.5" x14ac:dyDescent="0.2"/>
  <cols>
    <col min="1" max="10" width="9.33203125" style="1"/>
    <col min="11" max="11" width="9.33203125" style="2"/>
    <col min="12" max="15" width="14" style="1" bestFit="1" customWidth="1"/>
    <col min="16" max="18" width="11.83203125" style="1" bestFit="1" customWidth="1"/>
    <col min="19" max="23" width="14" style="1" bestFit="1" customWidth="1"/>
    <col min="24" max="16384" width="9.33203125" style="1"/>
  </cols>
  <sheetData>
    <row r="7" spans="10:23" x14ac:dyDescent="0.2">
      <c r="L7" s="2">
        <v>1</v>
      </c>
      <c r="M7" s="2">
        <v>2</v>
      </c>
      <c r="N7" s="2">
        <v>3</v>
      </c>
      <c r="O7" s="2">
        <v>4</v>
      </c>
      <c r="P7" s="2">
        <v>5</v>
      </c>
      <c r="Q7" s="2">
        <v>6</v>
      </c>
      <c r="R7" s="2">
        <v>7</v>
      </c>
      <c r="S7" s="2">
        <v>8</v>
      </c>
      <c r="T7" s="2">
        <v>9</v>
      </c>
      <c r="U7" s="2">
        <v>10</v>
      </c>
      <c r="V7" s="2">
        <v>11</v>
      </c>
      <c r="W7" s="2">
        <v>12</v>
      </c>
    </row>
    <row r="8" spans="10:23" x14ac:dyDescent="0.2">
      <c r="J8" s="13">
        <v>2026</v>
      </c>
      <c r="K8" s="5" t="s">
        <v>0</v>
      </c>
      <c r="L8" s="3">
        <f>GJ당!D7*(4.1868*10.19)/10^3</f>
        <v>597.57004041228004</v>
      </c>
      <c r="M8" s="3">
        <f>GJ당!E7*(4.1868*10.19)/10^3</f>
        <v>608.53157141183999</v>
      </c>
      <c r="N8" s="3">
        <f>GJ당!F7*(4.1868*10.19)/10^3</f>
        <v>585.81923481071999</v>
      </c>
      <c r="O8" s="3">
        <f>GJ당!G7*(4.1868*10.19)/10^3</f>
        <v>613.92253026096</v>
      </c>
      <c r="P8" s="3">
        <f>GJ당!H7*(4.1868*10.19)/10^3</f>
        <v>676.0926240732</v>
      </c>
      <c r="Q8" s="3">
        <f>GJ당!I7*(4.1868*10.19)/10^3</f>
        <v>736.59500198315993</v>
      </c>
      <c r="R8" s="3">
        <f>GJ당!J7*(4.1868*10.19)/10^3</f>
        <v>785.35425372011991</v>
      </c>
      <c r="S8" s="3">
        <f>GJ당!K7*(4.1868*10.19)/10^3</f>
        <v>879.39824240556004</v>
      </c>
      <c r="T8" s="3">
        <f>GJ당!L7*(4.1868*10.19)/10^3</f>
        <v>968.12934643224003</v>
      </c>
      <c r="U8" s="3">
        <f>GJ당!M7*(4.1868*10.19)/10^3</f>
        <v>980.12504047787991</v>
      </c>
      <c r="V8" s="3">
        <f>GJ당!N7*(4.1868*10.19)/10^3</f>
        <v>0</v>
      </c>
      <c r="W8" s="3">
        <f>GJ당!O7*(4.1868*10.19)/10^3</f>
        <v>0</v>
      </c>
    </row>
    <row r="9" spans="10:23" x14ac:dyDescent="0.2">
      <c r="J9" s="13">
        <v>2026</v>
      </c>
      <c r="K9" s="5" t="s">
        <v>1</v>
      </c>
      <c r="L9" s="3">
        <f>GJ당!D8*(4.1868*10.19)/10^3</f>
        <v>98.853017503679993</v>
      </c>
      <c r="M9" s="3">
        <f>GJ당!E8*(4.1868*10.19)/10^3</f>
        <v>98.853017503679993</v>
      </c>
      <c r="N9" s="3">
        <f>GJ당!F8*(4.1868*10.19)/10^3</f>
        <v>98.853017503679993</v>
      </c>
      <c r="O9" s="3">
        <f>GJ당!G8*(4.1868*10.19)/10^3</f>
        <v>98.853017503679993</v>
      </c>
      <c r="P9" s="3">
        <f>GJ당!H8*(4.1868*10.19)/10^3</f>
        <v>90.210673929239988</v>
      </c>
      <c r="Q9" s="3">
        <f>GJ당!I8*(4.1868*10.19)/10^3</f>
        <v>90.210673929239988</v>
      </c>
      <c r="R9" s="3">
        <f>GJ당!J8*(4.1868*10.19)/10^3</f>
        <v>90.210673929239988</v>
      </c>
      <c r="S9" s="3">
        <f>GJ당!K8*(4.1868*10.19)/10^3</f>
        <v>90.210673929239988</v>
      </c>
      <c r="T9" s="3">
        <f>GJ당!L8*(4.1868*10.19)/10^3</f>
        <v>90.210673929239988</v>
      </c>
      <c r="U9" s="3">
        <f>GJ당!M8*(4.1868*10.19)/10^3</f>
        <v>90.210673929239988</v>
      </c>
      <c r="V9" s="3">
        <f>GJ당!N8*(4.1868*10.19)/10^3</f>
        <v>0</v>
      </c>
      <c r="W9" s="3">
        <f>GJ당!O8*(4.1868*10.19)/10^3</f>
        <v>0</v>
      </c>
    </row>
    <row r="10" spans="10:23" x14ac:dyDescent="0.2">
      <c r="J10" s="13">
        <v>2026</v>
      </c>
      <c r="K10" s="5" t="s">
        <v>2</v>
      </c>
      <c r="L10" s="4">
        <f>GJ당!D9*(4.1868*10.19)/10^3</f>
        <v>696.42305791595993</v>
      </c>
      <c r="M10" s="4">
        <f>GJ당!E9*(4.1868*10.19)/10^3</f>
        <v>707.38458891552</v>
      </c>
      <c r="N10" s="4">
        <f>GJ당!F9*(4.1868*10.19)/10^3</f>
        <v>684.6722523144</v>
      </c>
      <c r="O10" s="4">
        <f>GJ당!G9*(4.1868*10.19)/10^3</f>
        <v>712.77554776464012</v>
      </c>
      <c r="P10" s="4">
        <f>GJ당!H9*(4.1868*10.19)/10^3</f>
        <v>766.3032980024401</v>
      </c>
      <c r="Q10" s="4">
        <f>GJ당!I9*(4.1868*10.19)/10^3</f>
        <v>826.80567591240003</v>
      </c>
      <c r="R10" s="4">
        <f>GJ당!J9*(4.1868*10.19)/10^3</f>
        <v>875.56492764936002</v>
      </c>
      <c r="S10" s="4">
        <f>GJ당!K9*(4.1868*10.19)/10^3</f>
        <v>969.60891633480003</v>
      </c>
      <c r="T10" s="4">
        <f>GJ당!L9*(4.1868*10.19)/10^3</f>
        <v>1058.3400203614801</v>
      </c>
      <c r="U10" s="4">
        <f>GJ당!M9*(4.1868*10.19)/10^3</f>
        <v>1070.3357144071199</v>
      </c>
      <c r="V10" s="4">
        <f>GJ당!N9*(4.1868*10.19)/10^3</f>
        <v>0</v>
      </c>
      <c r="W10" s="4">
        <f>GJ당!O9*(4.1868*10.19)/10^3</f>
        <v>0</v>
      </c>
    </row>
    <row r="11" spans="10:23" x14ac:dyDescent="0.2">
      <c r="J11" s="13">
        <v>2025</v>
      </c>
      <c r="K11" s="5" t="s">
        <v>0</v>
      </c>
      <c r="L11" s="3">
        <f>GJ당!D10*(4.1868*10.19)/10^3</f>
        <v>771.35892180444</v>
      </c>
      <c r="M11" s="3">
        <f>GJ당!E10*(4.1868*10.19)/10^3</f>
        <v>734.31847805003997</v>
      </c>
      <c r="N11" s="3">
        <f>GJ당!F10*(4.1868*10.19)/10^3</f>
        <v>724.09459882715998</v>
      </c>
      <c r="O11" s="3">
        <f>GJ당!G10*(4.1868*10.19)/10^3</f>
        <v>765.89970136812008</v>
      </c>
      <c r="P11" s="3">
        <f>GJ당!H10*(4.1868*10.19)/10^3</f>
        <v>697.99051461203999</v>
      </c>
      <c r="Q11" s="3">
        <f>GJ당!I10*(4.1868*10.19)/10^3</f>
        <v>673.06010306183998</v>
      </c>
      <c r="R11" s="3">
        <f>GJ당!J10*(4.1868*10.19)/10^3</f>
        <v>628.74980027063998</v>
      </c>
      <c r="S11" s="3">
        <f>GJ당!K10*(4.1868*10.19)/10^3</f>
        <v>620.4602837750399</v>
      </c>
      <c r="T11" s="3">
        <f>GJ당!L10*(4.1868*10.19)/10^3</f>
        <v>663.93310221827994</v>
      </c>
      <c r="U11" s="3">
        <f>GJ당!M10*(4.1868*10.19)/10^3</f>
        <v>623.6818040559599</v>
      </c>
      <c r="V11" s="3">
        <f>GJ당!N10*(4.1868*10.19)/10^3</f>
        <v>567.53366213951995</v>
      </c>
      <c r="W11" s="3">
        <f>GJ당!O10*(4.1868*10.19)/10^3</f>
        <v>578.77890536088</v>
      </c>
    </row>
    <row r="12" spans="10:23" x14ac:dyDescent="0.2">
      <c r="J12" s="13">
        <v>2025</v>
      </c>
      <c r="K12" s="5" t="s">
        <v>1</v>
      </c>
      <c r="L12" s="3">
        <f>GJ당!D11*(4.1868*10.19)/10^3</f>
        <v>83.722410065879998</v>
      </c>
      <c r="M12" s="3">
        <f>GJ당!E11*(4.1868*10.19)/10^3</f>
        <v>83.722410065879998</v>
      </c>
      <c r="N12" s="3">
        <f>GJ당!F11*(4.1868*10.19)/10^3</f>
        <v>83.722410065879998</v>
      </c>
      <c r="O12" s="3">
        <f>GJ당!G11*(4.1868*10.19)/10^3</f>
        <v>83.722410065879998</v>
      </c>
      <c r="P12" s="3">
        <f>GJ당!H11*(4.1868*10.19)/10^3</f>
        <v>98.853017503679993</v>
      </c>
      <c r="Q12" s="3">
        <f>GJ당!I11*(4.1868*10.19)/10^3</f>
        <v>98.853017503679993</v>
      </c>
      <c r="R12" s="3">
        <f>GJ당!J11*(4.1868*10.19)/10^3</f>
        <v>98.853017503679993</v>
      </c>
      <c r="S12" s="3">
        <f>GJ당!K11*(4.1868*10.19)/10^3</f>
        <v>98.853017503679993</v>
      </c>
      <c r="T12" s="3">
        <f>GJ당!L11*(4.1868*10.19)/10^3</f>
        <v>98.853017503679993</v>
      </c>
      <c r="U12" s="3">
        <f>GJ당!M11*(4.1868*10.19)/10^3</f>
        <v>98.853017503679993</v>
      </c>
      <c r="V12" s="3">
        <f>GJ당!N11*(4.1868*10.19)/10^3</f>
        <v>98.853017503679993</v>
      </c>
      <c r="W12" s="3">
        <f>GJ당!O11*(4.1868*10.19)/10^3</f>
        <v>98.853017503679993</v>
      </c>
    </row>
    <row r="13" spans="10:23" x14ac:dyDescent="0.2">
      <c r="J13" s="13">
        <v>2025</v>
      </c>
      <c r="K13" s="5" t="s">
        <v>2</v>
      </c>
      <c r="L13" s="4">
        <f>GJ당!D12*(4.1868*10.19)/10^3</f>
        <v>855.0813318703199</v>
      </c>
      <c r="M13" s="4">
        <f>GJ당!E12*(4.1868*10.19)/10^3</f>
        <v>818.04088811591987</v>
      </c>
      <c r="N13" s="4">
        <f>GJ당!F12*(4.1868*10.19)/10^3</f>
        <v>807.81700889303988</v>
      </c>
      <c r="O13" s="4">
        <f>GJ당!G12*(4.1868*10.19)/10^3</f>
        <v>849.62211143399998</v>
      </c>
      <c r="P13" s="4">
        <f>GJ당!H12*(4.1868*10.19)/10^3</f>
        <v>796.84353211572</v>
      </c>
      <c r="Q13" s="4">
        <f>GJ당!I12*(4.1868*10.19)/10^3</f>
        <v>771.91312056551999</v>
      </c>
      <c r="R13" s="4">
        <f>GJ당!J12*(4.1868*10.19)/10^3</f>
        <v>727.60281777431987</v>
      </c>
      <c r="S13" s="4">
        <f>GJ당!K12*(4.1868*10.19)/10^3</f>
        <v>719.3133012787199</v>
      </c>
      <c r="T13" s="4">
        <f>GJ당!L12*(4.1868*10.19)/10^3</f>
        <v>762.78611972196006</v>
      </c>
      <c r="U13" s="4">
        <f>GJ당!M12*(4.1868*10.19)/10^3</f>
        <v>722.53482155963991</v>
      </c>
      <c r="V13" s="4">
        <f>GJ당!N12*(4.1868*10.19)/10^3</f>
        <v>666.38667964319984</v>
      </c>
      <c r="W13" s="4">
        <f>GJ당!O12*(4.1868*10.19)/10^3</f>
        <v>677.63192286456001</v>
      </c>
    </row>
    <row r="14" spans="10:23" x14ac:dyDescent="0.2">
      <c r="J14" s="13">
        <v>2024</v>
      </c>
      <c r="K14" s="5" t="s">
        <v>0</v>
      </c>
      <c r="L14" s="3">
        <f>GJ당!D13*(4.1868*10.19)/10^3</f>
        <v>962.56261399608002</v>
      </c>
      <c r="M14" s="3">
        <f>GJ당!E13*(4.1868*10.19)/10^3</f>
        <v>864.66696525287989</v>
      </c>
      <c r="N14" s="3">
        <f>GJ당!F13*(4.1868*10.19)/10^3</f>
        <v>878.20025155019994</v>
      </c>
      <c r="O14" s="3">
        <f>GJ당!G13*(4.1868*10.19)/10^3</f>
        <v>807.28030216367995</v>
      </c>
      <c r="P14" s="3">
        <f>GJ당!H13*(4.1868*10.19)/10^3</f>
        <v>759.70922867891989</v>
      </c>
      <c r="Q14" s="3">
        <f>GJ당!I13*(4.1868*10.19)/10^3</f>
        <v>735.52116188951993</v>
      </c>
      <c r="R14" s="3">
        <f>GJ당!J13*(4.1868*10.19)/10^3</f>
        <v>753.10150703795989</v>
      </c>
      <c r="S14" s="3">
        <f>GJ당!K13*(4.1868*10.19)/10^3</f>
        <v>785.30391079956019</v>
      </c>
      <c r="T14" s="3">
        <f>GJ당!L13*(4.1868*10.19)/10^3</f>
        <v>799.06544677908005</v>
      </c>
      <c r="U14" s="3">
        <f>GJ당!M13*(4.1868*10.19)/10^3</f>
        <v>771.34740266159997</v>
      </c>
      <c r="V14" s="3">
        <f>GJ당!N13*(4.1868*10.19)/10^3</f>
        <v>761.04544924836</v>
      </c>
      <c r="W14" s="3">
        <f>GJ당!O13*(4.1868*10.19)/10^3</f>
        <v>798.90844512852004</v>
      </c>
    </row>
    <row r="15" spans="10:23" x14ac:dyDescent="0.2">
      <c r="J15" s="13">
        <v>2024</v>
      </c>
      <c r="K15" s="5" t="s">
        <v>1</v>
      </c>
      <c r="L15" s="3">
        <f>GJ당!D14*(4.1868*10.19)/10^3</f>
        <v>61.219124575560002</v>
      </c>
      <c r="M15" s="3">
        <f>GJ당!E14*(4.1868*10.19)/10^3</f>
        <v>61.219124575560002</v>
      </c>
      <c r="N15" s="3">
        <f>GJ당!F14*(4.1868*10.19)/10^3</f>
        <v>61.219124575560002</v>
      </c>
      <c r="O15" s="3">
        <f>GJ당!G14*(4.1868*10.19)/10^3</f>
        <v>61.219124575560002</v>
      </c>
      <c r="P15" s="3">
        <f>GJ당!H14*(4.1868*10.19)/10^3</f>
        <v>83.722410065879998</v>
      </c>
      <c r="Q15" s="3">
        <f>GJ당!I14*(4.1868*10.19)/10^3</f>
        <v>83.722410065879998</v>
      </c>
      <c r="R15" s="3">
        <f>GJ당!J14*(4.1868*10.19)/10^3</f>
        <v>83.722410065879998</v>
      </c>
      <c r="S15" s="3">
        <f>GJ당!K14*(4.1868*10.19)/10^3</f>
        <v>83.722410065879998</v>
      </c>
      <c r="T15" s="3">
        <f>GJ당!L14*(4.1868*10.19)/10^3</f>
        <v>83.722410065879998</v>
      </c>
      <c r="U15" s="3">
        <f>GJ당!M14*(4.1868*10.19)/10^3</f>
        <v>83.722410065879998</v>
      </c>
      <c r="V15" s="3">
        <f>GJ당!N14*(4.1868*10.19)/10^3</f>
        <v>83.722410065879998</v>
      </c>
      <c r="W15" s="3">
        <f>GJ당!O14*(4.1868*10.19)/10^3</f>
        <v>83.722410065879998</v>
      </c>
    </row>
    <row r="16" spans="10:23" ht="14.25" thickBot="1" x14ac:dyDescent="0.25">
      <c r="J16" s="13">
        <v>2024</v>
      </c>
      <c r="K16" s="5" t="s">
        <v>2</v>
      </c>
      <c r="L16" s="4">
        <f>GJ당!D15*(4.1868*10.19)/10^3</f>
        <v>1023.7817385716399</v>
      </c>
      <c r="M16" s="4">
        <f>GJ당!E15*(4.1868*10.19)/10^3</f>
        <v>925.88608982843994</v>
      </c>
      <c r="N16" s="4">
        <f>GJ당!F15*(4.1868*10.19)/10^3</f>
        <v>939.41937612575987</v>
      </c>
      <c r="O16" s="4">
        <f>GJ당!G15*(4.1868*10.19)/10^3</f>
        <v>868.49942673924011</v>
      </c>
      <c r="P16" s="4">
        <f>GJ당!H15*(4.1868*10.19)/10^3</f>
        <v>843.4316387447999</v>
      </c>
      <c r="Q16" s="4">
        <f>GJ당!I15*(4.1868*10.19)/10^3</f>
        <v>819.24357195539983</v>
      </c>
      <c r="R16" s="4">
        <f>GJ당!J15*(4.1868*10.19)/10^3</f>
        <v>836.82391710383979</v>
      </c>
      <c r="S16" s="4">
        <f>GJ당!K15*(4.1868*10.19)/10^3</f>
        <v>869.02632086544008</v>
      </c>
      <c r="T16" s="4">
        <f>GJ당!L15*(4.1868*10.19)/10^3</f>
        <v>882.78785684496006</v>
      </c>
      <c r="U16" s="4">
        <f>GJ당!M15*(4.1868*10.19)/10^3</f>
        <v>855.06981272747987</v>
      </c>
      <c r="V16" s="4">
        <f>GJ당!N15*(4.1868*10.19)/10^3</f>
        <v>844.76785931424001</v>
      </c>
      <c r="W16" s="4">
        <f>GJ당!O15*(4.1868*10.19)/10^3</f>
        <v>882.63085519439994</v>
      </c>
    </row>
    <row r="17" spans="10:23" x14ac:dyDescent="0.2">
      <c r="J17" s="13">
        <v>2023</v>
      </c>
      <c r="K17" s="5" t="s">
        <v>0</v>
      </c>
      <c r="L17" s="6">
        <f>GJ당!D16*(4.1868*10.19)/10^3</f>
        <v>1495.8276794564399</v>
      </c>
      <c r="M17" s="6">
        <f>GJ당!E16*(4.1868*10.19)/10^3</f>
        <v>1477.57410440424</v>
      </c>
      <c r="N17" s="6">
        <f>GJ당!F16*(4.1868*10.19)/10^3</f>
        <v>1390.92071243796</v>
      </c>
      <c r="O17" s="7">
        <f>GJ당!G16*(4.1868*10.19)/10^3</f>
        <v>1007.3008316120399</v>
      </c>
      <c r="P17" s="7">
        <f>GJ당!H16*(4.1868*10.19)/10^3</f>
        <v>915.42201514559997</v>
      </c>
      <c r="Q17" s="8">
        <f>GJ당!I16*(4.1868*10.19)/10^3</f>
        <v>881.11075497444006</v>
      </c>
      <c r="R17" s="6">
        <f>GJ당!J16*(4.1868*10.19)/10^3</f>
        <v>914.40705067091994</v>
      </c>
      <c r="S17" s="6">
        <f>GJ당!K16*(4.1868*10.19)/10^3</f>
        <v>860.99747830595993</v>
      </c>
      <c r="T17" s="6">
        <f>GJ당!L16*(4.1868*10.19)/10^3</f>
        <v>849.24453952980002</v>
      </c>
      <c r="U17" s="9">
        <f>GJ당!M16*(4.1868*10.19)/10^3</f>
        <v>902.64984554555997</v>
      </c>
      <c r="V17" s="6">
        <f>GJ당!N16*(4.1868*10.19)/10^3</f>
        <v>804.56647743756002</v>
      </c>
      <c r="W17" s="6">
        <f>GJ당!O16*(4.1868*10.19)/10^3</f>
        <v>861.73811652708002</v>
      </c>
    </row>
    <row r="18" spans="10:23" x14ac:dyDescent="0.2">
      <c r="J18" s="13">
        <v>2023</v>
      </c>
      <c r="K18" s="5" t="s">
        <v>1</v>
      </c>
      <c r="L18" s="9">
        <f>GJ당!D17*(4.1868*10.19)/10^3</f>
        <v>44.527459965479999</v>
      </c>
      <c r="M18" s="9">
        <f>GJ당!E17*(4.1868*10.19)/10^3</f>
        <v>44.527459965479999</v>
      </c>
      <c r="N18" s="9">
        <f>GJ당!F17*(4.1868*10.19)/10^3</f>
        <v>44.527459965479999</v>
      </c>
      <c r="O18" s="9">
        <f>GJ당!G17*(4.1868*10.19)/10^3</f>
        <v>44.527459965479999</v>
      </c>
      <c r="P18" s="10">
        <f>GJ당!H17*(4.1868*10.19)/10^3</f>
        <v>61.219124575560002</v>
      </c>
      <c r="Q18" s="10">
        <f>GJ당!I17*(4.1868*10.19)/10^3</f>
        <v>61.219124575560002</v>
      </c>
      <c r="R18" s="10">
        <f>GJ당!J17*(4.1868*10.19)/10^3</f>
        <v>61.219124575560002</v>
      </c>
      <c r="S18" s="10">
        <f>GJ당!K17*(4.1868*10.19)/10^3</f>
        <v>61.219124575560002</v>
      </c>
      <c r="T18" s="9">
        <f>GJ당!L17*(4.1868*10.19)/10^3</f>
        <v>61.219124575560002</v>
      </c>
      <c r="U18" s="11">
        <f>GJ당!M17*(4.1868*10.19)/10^3</f>
        <v>61.219124575560002</v>
      </c>
      <c r="V18" s="9">
        <f>GJ당!N17*(4.1868*10.19)/10^3</f>
        <v>61.219124575560002</v>
      </c>
      <c r="W18" s="9">
        <f>GJ당!O17*(4.1868*10.19)/10^3</f>
        <v>61.219124575560002</v>
      </c>
    </row>
    <row r="19" spans="10:23" ht="14.25" thickBot="1" x14ac:dyDescent="0.25">
      <c r="J19" s="13">
        <v>2023</v>
      </c>
      <c r="K19" s="5" t="s">
        <v>2</v>
      </c>
      <c r="L19" s="12">
        <f>GJ당!D18*(4.1868*10.19)/10^3</f>
        <v>1540.3551394219201</v>
      </c>
      <c r="M19" s="12">
        <f>GJ당!E18*(4.1868*10.19)/10^3</f>
        <v>1522.1015643697201</v>
      </c>
      <c r="N19" s="12">
        <f>GJ당!F18*(4.1868*10.19)/10^3</f>
        <v>1435.4481724034399</v>
      </c>
      <c r="O19" s="12">
        <f>GJ당!G18*(4.1868*10.19)/10^3</f>
        <v>1051.8282915775198</v>
      </c>
      <c r="P19" s="12">
        <f>GJ당!H18*(4.1868*10.19)/10^3</f>
        <v>976.6411397211599</v>
      </c>
      <c r="Q19" s="12">
        <f>GJ당!I18*(4.1868*10.19)/10^3</f>
        <v>942.3298795500001</v>
      </c>
      <c r="R19" s="12">
        <f>GJ당!J18*(4.1868*10.19)/10^3</f>
        <v>975.62617524647987</v>
      </c>
      <c r="S19" s="12">
        <f>GJ당!K18*(4.1868*10.19)/10^3</f>
        <v>922.21660288152009</v>
      </c>
      <c r="T19" s="12">
        <f>GJ당!L18*(4.1868*10.19)/10^3</f>
        <v>910.46366410536007</v>
      </c>
      <c r="U19" s="12">
        <f>GJ당!M18*(4.1868*10.19)/10^3</f>
        <v>963.86897012112001</v>
      </c>
      <c r="V19" s="12">
        <f>GJ당!N18*(4.1868*10.19)/10^3</f>
        <v>865.78560201311996</v>
      </c>
      <c r="W19" s="12">
        <f>GJ당!O18*(4.1868*10.19)/10^3</f>
        <v>922.95724110264007</v>
      </c>
    </row>
    <row r="20" spans="10:23" x14ac:dyDescent="0.2">
      <c r="J20" s="13">
        <v>2022</v>
      </c>
      <c r="K20" s="5" t="s">
        <v>0</v>
      </c>
      <c r="L20" s="6">
        <f>GJ당!D19*(4.1868*10.19)/10^3</f>
        <v>900.35753612039991</v>
      </c>
      <c r="M20" s="6">
        <f>GJ당!E19*(4.1868*10.19)/10^3</f>
        <v>1173.24603</v>
      </c>
      <c r="N20" s="6">
        <f>GJ당!F19*(4.1868*10.19)/10^3</f>
        <v>1075.1754609395998</v>
      </c>
      <c r="O20" s="7">
        <f>GJ당!G19*(4.1868*10.19)/10^3</f>
        <v>1148.9760493059598</v>
      </c>
      <c r="P20" s="7">
        <f>GJ당!H19*(4.1868*10.19)/10^3</f>
        <v>794.29524173855975</v>
      </c>
      <c r="Q20" s="8">
        <f>GJ당!I19*(4.1868*10.19)/10^3</f>
        <v>746.85301199963988</v>
      </c>
      <c r="R20" s="6">
        <f>GJ당!J19*(4.1868*10.19)/10^3</f>
        <v>882.93632579712005</v>
      </c>
      <c r="S20" s="6">
        <f>GJ당!K19*(4.1868*10.19)/10^3</f>
        <v>1250.5829952182401</v>
      </c>
      <c r="T20" s="6">
        <f>GJ당!L19*(4.1868*10.19)/10^3</f>
        <v>1429.2896973332399</v>
      </c>
      <c r="U20" s="9">
        <f>GJ당!M19*(4.1868*10.19)/10^3</f>
        <v>1523.0678924635201</v>
      </c>
      <c r="V20" s="6">
        <f>GJ당!N19*(4.1868*10.19)/10^3</f>
        <v>1485.8896456299601</v>
      </c>
      <c r="W20" s="6">
        <f>GJ당!O19*(4.1868*10.19)/10^3</f>
        <v>1572.2379936284399</v>
      </c>
    </row>
    <row r="21" spans="10:23" x14ac:dyDescent="0.2">
      <c r="J21" s="13">
        <v>2022</v>
      </c>
      <c r="K21" s="5" t="s">
        <v>1</v>
      </c>
      <c r="L21" s="9">
        <f>GJ당!D20*(4.1868*10.19)/10^3</f>
        <v>75.158993951639999</v>
      </c>
      <c r="M21" s="9">
        <f>GJ당!E20*(4.1868*10.19)/10^3</f>
        <v>75.158993951639999</v>
      </c>
      <c r="N21" s="9">
        <f>GJ당!F20*(4.1868*10.19)/10^3</f>
        <v>75.158993951639999</v>
      </c>
      <c r="O21" s="9">
        <f>GJ당!G20*(4.1868*10.19)/10^3</f>
        <v>75.158993951639999</v>
      </c>
      <c r="P21" s="10">
        <f>GJ당!H20*(4.1868*10.19)/10^3</f>
        <v>44.527459965479999</v>
      </c>
      <c r="Q21" s="10">
        <f>GJ당!I20*(4.1868*10.19)/10^3</f>
        <v>44.527459965479999</v>
      </c>
      <c r="R21" s="10">
        <f>GJ당!J20*(4.1868*10.19)/10^3</f>
        <v>44.527459965479999</v>
      </c>
      <c r="S21" s="10">
        <f>GJ당!K20*(4.1868*10.19)/10^3</f>
        <v>44.527459965479999</v>
      </c>
      <c r="T21" s="9">
        <f>GJ당!L20*(4.1868*10.19)/10^3</f>
        <v>44.527459965479999</v>
      </c>
      <c r="U21" s="11">
        <f>GJ당!M20*(4.1868*10.19)/10^3</f>
        <v>44.527459965479999</v>
      </c>
      <c r="V21" s="9">
        <f>GJ당!N20*(4.1868*10.19)/10^3</f>
        <v>44.527459965479999</v>
      </c>
      <c r="W21" s="9">
        <f>GJ당!O20*(4.1868*10.19)/10^3</f>
        <v>44.527459965479999</v>
      </c>
    </row>
    <row r="22" spans="10:23" ht="14.25" thickBot="1" x14ac:dyDescent="0.25">
      <c r="J22" s="13">
        <v>2022</v>
      </c>
      <c r="K22" s="5" t="s">
        <v>2</v>
      </c>
      <c r="L22" s="12">
        <f>GJ당!D21*(4.1868*10.19)/10^3</f>
        <v>975.51653007204004</v>
      </c>
      <c r="M22" s="12">
        <f>GJ당!E21*(4.1868*10.19)/10^3</f>
        <v>1248.4050239516398</v>
      </c>
      <c r="N22" s="12">
        <f>GJ당!F21*(4.1868*10.19)/10^3</f>
        <v>1150.3344548912401</v>
      </c>
      <c r="O22" s="12">
        <f>GJ당!G21*(4.1868*10.19)/10^3</f>
        <v>1224.1350432575996</v>
      </c>
      <c r="P22" s="12">
        <f>GJ당!H21*(4.1868*10.19)/10^3</f>
        <v>838.82270170403967</v>
      </c>
      <c r="Q22" s="12">
        <f>GJ당!I21*(4.1868*10.19)/10^3</f>
        <v>791.3804719651198</v>
      </c>
      <c r="R22" s="12">
        <f>GJ당!J21*(4.1868*10.19)/10^3</f>
        <v>927.46378576259985</v>
      </c>
      <c r="S22" s="12">
        <f>GJ당!K21*(4.1868*10.19)/10^3</f>
        <v>1295.11045518372</v>
      </c>
      <c r="T22" s="12">
        <f>GJ당!L21*(4.1868*10.19)/10^3</f>
        <v>1473.8171572987201</v>
      </c>
      <c r="U22" s="12">
        <f>GJ당!M21*(4.1868*10.19)/10^3</f>
        <v>1567.5953524290003</v>
      </c>
      <c r="V22" s="12">
        <f>GJ당!N21*(4.1868*10.19)/10^3</f>
        <v>1530.41710559544</v>
      </c>
      <c r="W22" s="12">
        <f>GJ당!O21*(4.1868*10.19)/10^3</f>
        <v>1616.76545359392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8378-8E78-4314-9CA6-4951C1905FF9}">
  <dimension ref="B6:O21"/>
  <sheetViews>
    <sheetView workbookViewId="0">
      <selection activeCell="M9" sqref="M9"/>
    </sheetView>
  </sheetViews>
  <sheetFormatPr defaultColWidth="17" defaultRowHeight="13.5" x14ac:dyDescent="0.2"/>
  <cols>
    <col min="1" max="16384" width="17" style="1"/>
  </cols>
  <sheetData>
    <row r="6" spans="2:15" x14ac:dyDescent="0.2">
      <c r="D6" s="1">
        <v>1</v>
      </c>
      <c r="E6" s="1">
        <v>2</v>
      </c>
      <c r="F6" s="1">
        <v>3</v>
      </c>
      <c r="G6" s="1">
        <v>4</v>
      </c>
      <c r="H6" s="1">
        <v>5</v>
      </c>
      <c r="I6" s="1">
        <v>6</v>
      </c>
      <c r="J6" s="1">
        <v>7</v>
      </c>
      <c r="K6" s="1">
        <v>8</v>
      </c>
      <c r="L6" s="1">
        <v>9</v>
      </c>
      <c r="M6" s="1">
        <v>10</v>
      </c>
      <c r="N6" s="1">
        <v>11</v>
      </c>
      <c r="O6" s="1">
        <v>12</v>
      </c>
    </row>
    <row r="7" spans="2:15" x14ac:dyDescent="0.2">
      <c r="B7" s="1">
        <v>2026</v>
      </c>
      <c r="C7" s="1" t="s">
        <v>0</v>
      </c>
      <c r="D7" s="3">
        <v>14006.59</v>
      </c>
      <c r="E7" s="3">
        <v>14263.52</v>
      </c>
      <c r="F7" s="3">
        <v>13731.16</v>
      </c>
      <c r="G7" s="3">
        <v>14389.880000000001</v>
      </c>
      <c r="H7" s="3">
        <v>15847.100000000002</v>
      </c>
      <c r="I7" s="3">
        <v>17265.23</v>
      </c>
      <c r="J7" s="3">
        <v>18408.11</v>
      </c>
      <c r="K7" s="3">
        <v>20612.43</v>
      </c>
      <c r="L7" s="3">
        <v>22692.22</v>
      </c>
      <c r="M7" s="3">
        <v>22973.39</v>
      </c>
      <c r="N7" s="3"/>
      <c r="O7" s="3"/>
    </row>
    <row r="8" spans="2:15" x14ac:dyDescent="0.2">
      <c r="C8" s="1" t="s">
        <v>1</v>
      </c>
      <c r="D8" s="3">
        <v>2317.04</v>
      </c>
      <c r="E8" s="3">
        <v>2317.04</v>
      </c>
      <c r="F8" s="3">
        <v>2317.04</v>
      </c>
      <c r="G8" s="3">
        <v>2317.04</v>
      </c>
      <c r="H8" s="3">
        <v>2114.4699999999998</v>
      </c>
      <c r="I8" s="3">
        <v>2114.4699999999998</v>
      </c>
      <c r="J8" s="3">
        <v>2114.4699999999998</v>
      </c>
      <c r="K8" s="3">
        <v>2114.4699999999998</v>
      </c>
      <c r="L8" s="3">
        <v>2114.4699999999998</v>
      </c>
      <c r="M8" s="3">
        <v>2114.4699999999998</v>
      </c>
      <c r="N8" s="3"/>
      <c r="O8" s="3"/>
    </row>
    <row r="9" spans="2:15" x14ac:dyDescent="0.2">
      <c r="C9" s="1" t="s">
        <v>2</v>
      </c>
      <c r="D9" s="4">
        <f t="shared" ref="D9:O9" si="0">SUM(D7:D8)</f>
        <v>16323.630000000001</v>
      </c>
      <c r="E9" s="4">
        <f t="shared" si="0"/>
        <v>16580.560000000001</v>
      </c>
      <c r="F9" s="4">
        <f t="shared" si="0"/>
        <v>16048.2</v>
      </c>
      <c r="G9" s="4">
        <f t="shared" si="0"/>
        <v>16706.920000000002</v>
      </c>
      <c r="H9" s="4">
        <f t="shared" si="0"/>
        <v>17961.570000000003</v>
      </c>
      <c r="I9" s="4">
        <f t="shared" si="0"/>
        <v>19379.7</v>
      </c>
      <c r="J9" s="4">
        <f t="shared" si="0"/>
        <v>20522.580000000002</v>
      </c>
      <c r="K9" s="4">
        <f t="shared" si="0"/>
        <v>22726.9</v>
      </c>
      <c r="L9" s="4">
        <f t="shared" si="0"/>
        <v>24806.690000000002</v>
      </c>
      <c r="M9" s="4">
        <f t="shared" si="0"/>
        <v>25087.86</v>
      </c>
      <c r="N9" s="4">
        <f t="shared" si="0"/>
        <v>0</v>
      </c>
      <c r="O9" s="4">
        <f t="shared" si="0"/>
        <v>0</v>
      </c>
    </row>
    <row r="10" spans="2:15" x14ac:dyDescent="0.2">
      <c r="B10" s="1">
        <v>2025</v>
      </c>
      <c r="C10" s="1" t="s">
        <v>0</v>
      </c>
      <c r="D10" s="3">
        <v>18080.07</v>
      </c>
      <c r="E10" s="3">
        <v>17211.87</v>
      </c>
      <c r="F10" s="3">
        <v>16972.23</v>
      </c>
      <c r="G10" s="3">
        <v>17952.11</v>
      </c>
      <c r="H10" s="3">
        <v>16360.37</v>
      </c>
      <c r="I10" s="3">
        <v>15776.02</v>
      </c>
      <c r="J10" s="3">
        <v>14737.42</v>
      </c>
      <c r="K10" s="3">
        <v>14543.12</v>
      </c>
      <c r="L10" s="3">
        <v>15562.09</v>
      </c>
      <c r="M10" s="3">
        <v>14618.63</v>
      </c>
      <c r="N10" s="3">
        <v>13302.56</v>
      </c>
      <c r="O10" s="3">
        <v>13566.14</v>
      </c>
    </row>
    <row r="11" spans="2:15" x14ac:dyDescent="0.2">
      <c r="C11" s="1" t="s">
        <v>1</v>
      </c>
      <c r="D11" s="3">
        <v>1962.39</v>
      </c>
      <c r="E11" s="3">
        <v>1962.39</v>
      </c>
      <c r="F11" s="3">
        <v>1962.39</v>
      </c>
      <c r="G11" s="3">
        <v>1962.39</v>
      </c>
      <c r="H11" s="3">
        <v>2317.04</v>
      </c>
      <c r="I11" s="3">
        <v>2317.04</v>
      </c>
      <c r="J11" s="3">
        <v>2317.04</v>
      </c>
      <c r="K11" s="3">
        <v>2317.04</v>
      </c>
      <c r="L11" s="3">
        <v>2317.04</v>
      </c>
      <c r="M11" s="3">
        <v>2317.04</v>
      </c>
      <c r="N11" s="3">
        <v>2317.04</v>
      </c>
      <c r="O11" s="3">
        <v>2317.04</v>
      </c>
    </row>
    <row r="12" spans="2:15" x14ac:dyDescent="0.2">
      <c r="C12" s="1" t="s">
        <v>2</v>
      </c>
      <c r="D12" s="4">
        <f t="shared" ref="D12:O12" si="1">SUM(D10:D11)</f>
        <v>20042.46</v>
      </c>
      <c r="E12" s="4">
        <f t="shared" si="1"/>
        <v>19174.259999999998</v>
      </c>
      <c r="F12" s="4">
        <f t="shared" si="1"/>
        <v>18934.62</v>
      </c>
      <c r="G12" s="4">
        <f t="shared" si="1"/>
        <v>19914.5</v>
      </c>
      <c r="H12" s="4">
        <f t="shared" si="1"/>
        <v>18677.41</v>
      </c>
      <c r="I12" s="4">
        <f t="shared" si="1"/>
        <v>18093.060000000001</v>
      </c>
      <c r="J12" s="4">
        <f t="shared" si="1"/>
        <v>17054.46</v>
      </c>
      <c r="K12" s="4">
        <f t="shared" si="1"/>
        <v>16860.16</v>
      </c>
      <c r="L12" s="4">
        <f t="shared" si="1"/>
        <v>17879.13</v>
      </c>
      <c r="M12" s="4">
        <f t="shared" si="1"/>
        <v>16935.669999999998</v>
      </c>
      <c r="N12" s="4">
        <f t="shared" si="1"/>
        <v>15619.599999999999</v>
      </c>
      <c r="O12" s="4">
        <f t="shared" si="1"/>
        <v>15883.18</v>
      </c>
    </row>
    <row r="13" spans="2:15" x14ac:dyDescent="0.2">
      <c r="B13" s="1">
        <v>2024</v>
      </c>
      <c r="C13" s="1" t="s">
        <v>0</v>
      </c>
      <c r="D13" s="3">
        <v>22561.74</v>
      </c>
      <c r="E13" s="3">
        <v>20267.14</v>
      </c>
      <c r="F13" s="3">
        <v>20584.349999999999</v>
      </c>
      <c r="G13" s="3">
        <v>18922.04</v>
      </c>
      <c r="H13" s="3">
        <v>17807.009999999998</v>
      </c>
      <c r="I13" s="3">
        <v>17240.059999999998</v>
      </c>
      <c r="J13" s="3">
        <v>17652.129999999997</v>
      </c>
      <c r="K13" s="3">
        <v>18406.930000000004</v>
      </c>
      <c r="L13" s="3">
        <v>18729.490000000002</v>
      </c>
      <c r="M13" s="3">
        <v>18079.8</v>
      </c>
      <c r="N13" s="3">
        <v>17838.330000000002</v>
      </c>
      <c r="O13" s="3">
        <v>18725.810000000001</v>
      </c>
    </row>
    <row r="14" spans="2:15" x14ac:dyDescent="0.2">
      <c r="C14" s="1" t="s">
        <v>1</v>
      </c>
      <c r="D14" s="3">
        <v>1434.93</v>
      </c>
      <c r="E14" s="3">
        <v>1434.93</v>
      </c>
      <c r="F14" s="3">
        <v>1434.93</v>
      </c>
      <c r="G14" s="3">
        <v>1434.93</v>
      </c>
      <c r="H14" s="3">
        <v>1962.39</v>
      </c>
      <c r="I14" s="3">
        <v>1962.39</v>
      </c>
      <c r="J14" s="3">
        <v>1962.39</v>
      </c>
      <c r="K14" s="3">
        <v>1962.39</v>
      </c>
      <c r="L14" s="3">
        <v>1962.39</v>
      </c>
      <c r="M14" s="3">
        <v>1962.39</v>
      </c>
      <c r="N14" s="3">
        <v>1962.39</v>
      </c>
      <c r="O14" s="3">
        <v>1962.39</v>
      </c>
    </row>
    <row r="15" spans="2:15" ht="14.25" thickBot="1" x14ac:dyDescent="0.25">
      <c r="C15" s="1" t="s">
        <v>2</v>
      </c>
      <c r="D15" s="4">
        <f>SUM(D13:D14)</f>
        <v>23996.670000000002</v>
      </c>
      <c r="E15" s="4">
        <v>21702.07</v>
      </c>
      <c r="F15" s="4">
        <f t="shared" ref="F15:O15" si="2">SUM(F13:F14)</f>
        <v>22019.279999999999</v>
      </c>
      <c r="G15" s="4">
        <f t="shared" si="2"/>
        <v>20356.97</v>
      </c>
      <c r="H15" s="4">
        <f t="shared" si="2"/>
        <v>19769.399999999998</v>
      </c>
      <c r="I15" s="4">
        <f t="shared" si="2"/>
        <v>19202.449999999997</v>
      </c>
      <c r="J15" s="4">
        <f t="shared" si="2"/>
        <v>19614.519999999997</v>
      </c>
      <c r="K15" s="4">
        <f t="shared" si="2"/>
        <v>20369.320000000003</v>
      </c>
      <c r="L15" s="4">
        <f t="shared" si="2"/>
        <v>20691.88</v>
      </c>
      <c r="M15" s="4">
        <f t="shared" si="2"/>
        <v>20042.189999999999</v>
      </c>
      <c r="N15" s="4">
        <f t="shared" si="2"/>
        <v>19800.72</v>
      </c>
      <c r="O15" s="4">
        <f t="shared" si="2"/>
        <v>20688.2</v>
      </c>
    </row>
    <row r="16" spans="2:15" x14ac:dyDescent="0.2">
      <c r="B16" s="1">
        <v>2023</v>
      </c>
      <c r="C16" s="1" t="s">
        <v>0</v>
      </c>
      <c r="D16" s="6">
        <v>35061.07</v>
      </c>
      <c r="E16" s="6">
        <v>34633.22</v>
      </c>
      <c r="F16" s="6">
        <v>32602.13</v>
      </c>
      <c r="G16" s="7">
        <v>23610.37</v>
      </c>
      <c r="H16" s="7">
        <v>21456.799999999999</v>
      </c>
      <c r="I16" s="8">
        <v>20652.570000000003</v>
      </c>
      <c r="J16" s="6">
        <v>21433.01</v>
      </c>
      <c r="K16" s="6">
        <v>20181.13</v>
      </c>
      <c r="L16" s="6">
        <v>19905.650000000001</v>
      </c>
      <c r="M16" s="9">
        <v>21157.43</v>
      </c>
      <c r="N16" s="6">
        <v>18858.43</v>
      </c>
      <c r="O16" s="6">
        <v>20198.490000000002</v>
      </c>
    </row>
    <row r="17" spans="2:15" x14ac:dyDescent="0.2">
      <c r="C17" s="1" t="s">
        <v>1</v>
      </c>
      <c r="D17" s="9">
        <v>1043.69</v>
      </c>
      <c r="E17" s="9">
        <v>1043.69</v>
      </c>
      <c r="F17" s="9">
        <v>1043.69</v>
      </c>
      <c r="G17" s="9">
        <v>1043.69</v>
      </c>
      <c r="H17" s="10">
        <v>1434.93</v>
      </c>
      <c r="I17" s="10">
        <v>1434.93</v>
      </c>
      <c r="J17" s="10">
        <v>1434.93</v>
      </c>
      <c r="K17" s="10">
        <v>1434.93</v>
      </c>
      <c r="L17" s="9">
        <v>1434.93</v>
      </c>
      <c r="M17" s="11">
        <v>1434.93</v>
      </c>
      <c r="N17" s="9">
        <v>1434.93</v>
      </c>
      <c r="O17" s="9">
        <v>1434.93</v>
      </c>
    </row>
    <row r="18" spans="2:15" ht="14.25" thickBot="1" x14ac:dyDescent="0.25">
      <c r="C18" s="1" t="s">
        <v>2</v>
      </c>
      <c r="D18" s="12">
        <f>SUM(D16:D17)</f>
        <v>36104.76</v>
      </c>
      <c r="E18" s="12">
        <f t="shared" ref="E18:N18" si="3">SUM(E16:E17)</f>
        <v>35676.910000000003</v>
      </c>
      <c r="F18" s="12">
        <f t="shared" si="3"/>
        <v>33645.82</v>
      </c>
      <c r="G18" s="12">
        <f t="shared" si="3"/>
        <v>24654.059999999998</v>
      </c>
      <c r="H18" s="12">
        <f t="shared" si="3"/>
        <v>22891.73</v>
      </c>
      <c r="I18" s="12">
        <f t="shared" si="3"/>
        <v>22087.500000000004</v>
      </c>
      <c r="J18" s="12">
        <f t="shared" si="3"/>
        <v>22867.94</v>
      </c>
      <c r="K18" s="12">
        <f t="shared" si="3"/>
        <v>21616.06</v>
      </c>
      <c r="L18" s="12">
        <f>SUM(L16:L17)</f>
        <v>21340.58</v>
      </c>
      <c r="M18" s="12">
        <f t="shared" si="3"/>
        <v>22592.36</v>
      </c>
      <c r="N18" s="12">
        <f t="shared" si="3"/>
        <v>20293.36</v>
      </c>
      <c r="O18" s="12">
        <v>21633.420000000002</v>
      </c>
    </row>
    <row r="19" spans="2:15" x14ac:dyDescent="0.2">
      <c r="B19" s="1">
        <v>2022</v>
      </c>
      <c r="C19" s="1" t="s">
        <v>0</v>
      </c>
      <c r="D19" s="6">
        <v>21103.7</v>
      </c>
      <c r="E19" s="6">
        <v>27500</v>
      </c>
      <c r="F19" s="6">
        <v>25201.3</v>
      </c>
      <c r="G19" s="7">
        <v>26931.129999999997</v>
      </c>
      <c r="H19" s="7">
        <v>18617.679999999997</v>
      </c>
      <c r="I19" s="8">
        <v>17505.669999999998</v>
      </c>
      <c r="J19" s="6">
        <v>20695.36</v>
      </c>
      <c r="K19" s="6">
        <v>29312.720000000001</v>
      </c>
      <c r="L19" s="6">
        <v>33501.47</v>
      </c>
      <c r="M19" s="9">
        <v>35699.560000000005</v>
      </c>
      <c r="N19" s="6">
        <v>34828.130000000005</v>
      </c>
      <c r="O19" s="6">
        <v>36852.07</v>
      </c>
    </row>
    <row r="20" spans="2:15" x14ac:dyDescent="0.2">
      <c r="C20" s="1" t="s">
        <v>1</v>
      </c>
      <c r="D20" s="9">
        <v>1761.67</v>
      </c>
      <c r="E20" s="9">
        <v>1761.67</v>
      </c>
      <c r="F20" s="9">
        <v>1761.67</v>
      </c>
      <c r="G20" s="9">
        <v>1761.67</v>
      </c>
      <c r="H20" s="10">
        <v>1043.69</v>
      </c>
      <c r="I20" s="10">
        <v>1043.69</v>
      </c>
      <c r="J20" s="10">
        <v>1043.69</v>
      </c>
      <c r="K20" s="10">
        <v>1043.69</v>
      </c>
      <c r="L20" s="9">
        <v>1043.69</v>
      </c>
      <c r="M20" s="11">
        <v>1043.69</v>
      </c>
      <c r="N20" s="9">
        <v>1043.69</v>
      </c>
      <c r="O20" s="9">
        <v>1043.69</v>
      </c>
    </row>
    <row r="21" spans="2:15" ht="14.25" thickBot="1" x14ac:dyDescent="0.25">
      <c r="C21" s="1" t="s">
        <v>2</v>
      </c>
      <c r="D21" s="12">
        <f>SUM(D19:D20)</f>
        <v>22865.370000000003</v>
      </c>
      <c r="E21" s="12">
        <f t="shared" ref="E21:O21" si="4">SUM(E19:E20)</f>
        <v>29261.67</v>
      </c>
      <c r="F21" s="12">
        <f t="shared" si="4"/>
        <v>26962.97</v>
      </c>
      <c r="G21" s="12">
        <f t="shared" si="4"/>
        <v>28692.799999999996</v>
      </c>
      <c r="H21" s="12">
        <f t="shared" si="4"/>
        <v>19661.369999999995</v>
      </c>
      <c r="I21" s="12">
        <f t="shared" si="4"/>
        <v>18549.359999999997</v>
      </c>
      <c r="J21" s="12">
        <f t="shared" si="4"/>
        <v>21739.05</v>
      </c>
      <c r="K21" s="12">
        <f t="shared" si="4"/>
        <v>30356.41</v>
      </c>
      <c r="L21" s="12">
        <f t="shared" si="4"/>
        <v>34545.160000000003</v>
      </c>
      <c r="M21" s="12">
        <f t="shared" si="4"/>
        <v>36743.250000000007</v>
      </c>
      <c r="N21" s="12">
        <f t="shared" si="4"/>
        <v>35871.820000000007</v>
      </c>
      <c r="O21" s="12">
        <f t="shared" si="4"/>
        <v>37895.760000000002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입방당</vt:lpstr>
      <vt:lpstr>GJ당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자혜/4급을/발전영업부</dc:creator>
  <cp:lastModifiedBy>동우 신</cp:lastModifiedBy>
  <dcterms:created xsi:type="dcterms:W3CDTF">2023-12-27T07:27:58Z</dcterms:created>
  <dcterms:modified xsi:type="dcterms:W3CDTF">2026-09-28T08:22:57Z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MTk1IiwibG9nVGltZSI6IjIwMjYtMDktMjhUMDg6MjM6MDZaIiwicElEIjoxLCJwcm9jZXNzSWQiOjM3OTI0LCJwcm9jZXNzTmFtZSI6IkVYQ0VMLkVYRSIsInRyYWNlSWQiOiIzN0U2NUM0ODM0NjQ0RDREQjY5OEJBNzY0MEQyQkRFRSIsInVzZXJDb2RlIjoiMDkwMDA1In0sIm5vZGUyIjp7ImRzZCI6IjAxMDAwMDAwMDAwMDExOTUiLCJsb2dUaW1lIjoiMjAyNi0wOS0yOFQwODoyMzowNloiLCJwSUQiOjEsInByb2Nlc3NJZCI6Mzc5MjQsInByb2Nlc3NOYW1lIjoiRVhDRUwuRVhFIiwidHJhY2VJZCI6IjM3RTY1QzQ4MzQ2NDRENERCNjk4QkE3NjQwRDJCREVFIiwidXNlckNvZGUiOiIwOTAwMDUifSwibm9kZTMiOnsiZHNkIjoiMDEwMDAwMDAwMDAwMTE5NSIsImxvZ1RpbWUiOiIyMDI2LTA5LTI4VDA4OjIzOjA2WiIsInBJRCI6MSwicHJvY2Vzc0lkIjozNzkyNCwicHJvY2Vzc05hbWUiOiJFWENFTC5FWEUiLCJ0cmFjZUlkIjoiMzdFNjVDNDgzNDY0NEQ0REI2OThCQTc2NDBEMkJERUUiLCJ1c2VyQ29kZSI6IjA5MDAwNSJ9LCJub2RlNCI6eyJkc2QiOiIwMTAwMDAwMDAwMDAxMTk1IiwibG9nVGltZSI6IjIwMjYtMDktMjhUMDg6MjM6MDZaIiwicElEIjoxLCJwcm9jZXNzSWQiOjM3OTI0LCJwcm9jZXNzTmFtZSI6IkVYQ0VMLkVYRSIsInRyYWNlSWQiOiIzN0U2NUM0ODM0NjQ0RDREQjY5OEJBNzY0MEQyQkRFRSIsInVzZXJDb2RlIjoiMDkwMDA1In0sIm5vZGU1Ijp7ImRzZCI6IjAwMDAwMDAwMDAwMDAwMDAiLCJsb2dUaW1lIjoiMjAyNi0wOS0yOFQwODoyMzoxNloiLCJwSUQiOjIwNDgsInByb2Nlc3NJZCI6Mzc5MjQsInByb2Nlc3NOYW1lIjoiRVhDRUwuRVhFIiwidHJhY2VJZCI6IkYyODgyRjBBMUY3NDRBRkQ4ODJCRTkwNkI2NjE0NDcxIiwidXNlckNvZGUiOiIwOTAwMDUifSwibm9kZUNvdW50IjoyLCJyb290VHJhY2VJZCI6IjM3RTY1QzQ4MzQ2NDRENERCNjk4QkE3NjQwRDJCREVFIn0=</vt:lpwstr>
  </property>
</Properties>
</file>